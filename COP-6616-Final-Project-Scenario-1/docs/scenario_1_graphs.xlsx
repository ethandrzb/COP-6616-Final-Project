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than\Documents\UCF\UCF Year 7\COP-6616-Final-Project\COP-6616-Final-Project-Scenario-1\docs\"/>
    </mc:Choice>
  </mc:AlternateContent>
  <xr:revisionPtr revIDLastSave="0" documentId="13_ncr:1_{13FB478A-EE7B-4483-BF04-3B21F3856257}" xr6:coauthVersionLast="47" xr6:coauthVersionMax="47" xr10:uidLastSave="{00000000-0000-0000-0000-000000000000}"/>
  <bookViews>
    <workbookView xWindow="-120" yWindow="-120" windowWidth="38640" windowHeight="21120" activeTab="1" xr2:uid="{44B590F9-641C-46CB-B2DD-1B7EC7A4B0D1}"/>
  </bookViews>
  <sheets>
    <sheet name="Data" sheetId="1" r:id="rId1"/>
    <sheet name="Graphs" sheetId="3" r:id="rId2"/>
  </sheets>
  <calcPr calcId="191029"/>
  <pivotCaches>
    <pivotCache cacheId="0" r:id="rId3"/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1" l="1"/>
  <c r="L8" i="1"/>
  <c r="L7" i="1"/>
  <c r="L6" i="1"/>
  <c r="L5" i="1"/>
  <c r="L4" i="1"/>
  <c r="L3" i="1"/>
  <c r="L2" i="1"/>
  <c r="E14" i="1"/>
  <c r="E15" i="1"/>
  <c r="E16" i="1"/>
  <c r="E17" i="1"/>
  <c r="E2" i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D15" i="1"/>
  <c r="D16" i="1"/>
  <c r="D17" i="1"/>
  <c r="D2" i="1"/>
</calcChain>
</file>

<file path=xl/sharedStrings.xml><?xml version="1.0" encoding="utf-8"?>
<sst xmlns="http://schemas.openxmlformats.org/spreadsheetml/2006/main" count="59" uniqueCount="19">
  <si>
    <t>TX buffer size</t>
  </si>
  <si>
    <t>Lowest ARR before failure</t>
  </si>
  <si>
    <t>Method</t>
  </si>
  <si>
    <t>memcpy</t>
  </si>
  <si>
    <t>DMA</t>
  </si>
  <si>
    <t>Failure side</t>
  </si>
  <si>
    <t>TX</t>
  </si>
  <si>
    <t>RX</t>
  </si>
  <si>
    <t>Row Labels</t>
  </si>
  <si>
    <t>Grand Total</t>
  </si>
  <si>
    <t>Column Labels</t>
  </si>
  <si>
    <t>Frequency (Hz)</t>
  </si>
  <si>
    <t>Throughput (MB/sec)</t>
  </si>
  <si>
    <t>Sum of Frequency (Hz)</t>
  </si>
  <si>
    <t>Sum of Throughput (MB/sec)</t>
  </si>
  <si>
    <t>Percent change</t>
  </si>
  <si>
    <t>Percent change is speedup from memcpy to DMA</t>
  </si>
  <si>
    <t>Values &lt; 1 are slowdown</t>
  </si>
  <si>
    <t>Sum of Percent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</si>
</sst>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1" applyFont="1"/>
    <xf numFmtId="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[scenario_1_graphs.xlsx]Graphs!PivotTable10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Graphs!$B$3:$B$4</c:f>
              <c:strCache>
                <c:ptCount val="1"/>
                <c:pt idx="0">
                  <c:v>memcpy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Graphs!$A$5:$A$13</c:f>
              <c:strCache>
                <c:ptCount val="8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  <c:pt idx="4">
                  <c:v>256</c:v>
                </c:pt>
                <c:pt idx="5">
                  <c:v>512</c:v>
                </c:pt>
                <c:pt idx="6">
                  <c:v>1024</c:v>
                </c:pt>
                <c:pt idx="7">
                  <c:v>2048</c:v>
                </c:pt>
              </c:strCache>
            </c:strRef>
          </c:cat>
          <c:val>
            <c:numRef>
              <c:f>Graphs!$B$5:$B$13</c:f>
              <c:numCache>
                <c:formatCode>General</c:formatCode>
                <c:ptCount val="8"/>
                <c:pt idx="0">
                  <c:v>145985.40145985401</c:v>
                </c:pt>
                <c:pt idx="1">
                  <c:v>109289.61748633879</c:v>
                </c:pt>
                <c:pt idx="2">
                  <c:v>71377.587437544615</c:v>
                </c:pt>
                <c:pt idx="3">
                  <c:v>37078.23507601038</c:v>
                </c:pt>
                <c:pt idx="4">
                  <c:v>18975.332068311196</c:v>
                </c:pt>
                <c:pt idx="5">
                  <c:v>6293.2662051604775</c:v>
                </c:pt>
                <c:pt idx="6">
                  <c:v>3200</c:v>
                </c:pt>
                <c:pt idx="7">
                  <c:v>1727.8916266371773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166D-426B-80AA-CB2B07079C3A}"/>
            </c:ext>
          </c:extLst>
        </c:ser>
        <c:ser>
          <c:idx val="1"/>
          <c:order val="1"/>
          <c:tx>
            <c:strRef>
              <c:f>Graphs!$C$3:$C$4</c:f>
              <c:strCache>
                <c:ptCount val="1"/>
                <c:pt idx="0">
                  <c:v>DMA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Graphs!$A$5:$A$13</c:f>
              <c:strCache>
                <c:ptCount val="8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  <c:pt idx="4">
                  <c:v>256</c:v>
                </c:pt>
                <c:pt idx="5">
                  <c:v>512</c:v>
                </c:pt>
                <c:pt idx="6">
                  <c:v>1024</c:v>
                </c:pt>
                <c:pt idx="7">
                  <c:v>2048</c:v>
                </c:pt>
              </c:strCache>
            </c:strRef>
          </c:cat>
          <c:val>
            <c:numRef>
              <c:f>Graphs!$C$5:$C$13</c:f>
              <c:numCache>
                <c:formatCode>General</c:formatCode>
                <c:ptCount val="8"/>
                <c:pt idx="0">
                  <c:v>66533.599467731197</c:v>
                </c:pt>
                <c:pt idx="1">
                  <c:v>57670.126874279122</c:v>
                </c:pt>
                <c:pt idx="2">
                  <c:v>39984.006397441022</c:v>
                </c:pt>
                <c:pt idx="3">
                  <c:v>25706.940874035987</c:v>
                </c:pt>
                <c:pt idx="4">
                  <c:v>15477.480266212659</c:v>
                </c:pt>
                <c:pt idx="5">
                  <c:v>8365.4007026936597</c:v>
                </c:pt>
                <c:pt idx="6">
                  <c:v>4368.3382841167222</c:v>
                </c:pt>
                <c:pt idx="7">
                  <c:v>2336.8307900824898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66D-426B-80AA-CB2B07079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5400848"/>
        <c:axId val="745401328"/>
      </c:barChart>
      <c:catAx>
        <c:axId val="745400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800">
                    <a:solidFill>
                      <a:schemeClr val="tx1">
                        <a:lumMod val="65000"/>
                        <a:lumOff val="35000"/>
                      </a:schemeClr>
                    </a:solidFill>
                  </a:defRPr>
                </a:pPr>
                <a:r>
                  <a:rPr lang="en-US" sz="180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Transfer Size (words)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401328"/>
        <c:crosses val="autoZero"/>
        <c:auto val="1"/>
        <c:lblAlgn val="ctr"/>
        <c:lblOffset val="100"/>
        <c:noMultiLvlLbl val="0"/>
      </c:catAx>
      <c:valAx>
        <c:axId val="74540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800">
                    <a:solidFill>
                      <a:schemeClr val="tx1">
                        <a:lumMod val="65000"/>
                        <a:lumOff val="35000"/>
                      </a:schemeClr>
                    </a:solidFill>
                  </a:defRPr>
                </a:pPr>
                <a:r>
                  <a:rPr lang="en-US" sz="180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Frequency (kHz)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400848"/>
        <c:crosses val="autoZero"/>
        <c:crossBetween val="between"/>
        <c:dispUnits>
          <c:builtInUnit val="thousands"/>
        </c:dispUnits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[scenario_1_graphs.xlsx]Graphs!PivotTable11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Graphs!$B$33:$B$34</c:f>
              <c:strCache>
                <c:ptCount val="1"/>
                <c:pt idx="0">
                  <c:v>memcpy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Graphs!$A$35:$A$43</c:f>
              <c:strCache>
                <c:ptCount val="8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  <c:pt idx="4">
                  <c:v>256</c:v>
                </c:pt>
                <c:pt idx="5">
                  <c:v>512</c:v>
                </c:pt>
                <c:pt idx="6">
                  <c:v>1024</c:v>
                </c:pt>
                <c:pt idx="7">
                  <c:v>2048</c:v>
                </c:pt>
              </c:strCache>
            </c:strRef>
          </c:cat>
          <c:val>
            <c:numRef>
              <c:f>Graphs!$B$35:$B$43</c:f>
              <c:numCache>
                <c:formatCode>General</c:formatCode>
                <c:ptCount val="8"/>
                <c:pt idx="0">
                  <c:v>8.9102417883211675</c:v>
                </c:pt>
                <c:pt idx="1">
                  <c:v>13.34101775956284</c:v>
                </c:pt>
                <c:pt idx="2">
                  <c:v>17.426168807994291</c:v>
                </c:pt>
                <c:pt idx="3">
                  <c:v>18.104606970708193</c:v>
                </c:pt>
                <c:pt idx="4">
                  <c:v>18.530597722960152</c:v>
                </c:pt>
                <c:pt idx="5">
                  <c:v>12.291535556954058</c:v>
                </c:pt>
                <c:pt idx="6">
                  <c:v>12.5</c:v>
                </c:pt>
                <c:pt idx="7">
                  <c:v>13.499153333102948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B9-467A-90C0-15A12988672B}"/>
            </c:ext>
          </c:extLst>
        </c:ser>
        <c:ser>
          <c:idx val="1"/>
          <c:order val="1"/>
          <c:tx>
            <c:strRef>
              <c:f>Graphs!$C$33:$C$34</c:f>
              <c:strCache>
                <c:ptCount val="1"/>
                <c:pt idx="0">
                  <c:v>DMA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Graphs!$A$35:$A$43</c:f>
              <c:strCache>
                <c:ptCount val="8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  <c:pt idx="4">
                  <c:v>256</c:v>
                </c:pt>
                <c:pt idx="5">
                  <c:v>512</c:v>
                </c:pt>
                <c:pt idx="6">
                  <c:v>1024</c:v>
                </c:pt>
                <c:pt idx="7">
                  <c:v>2048</c:v>
                </c:pt>
              </c:strCache>
            </c:strRef>
          </c:cat>
          <c:val>
            <c:numRef>
              <c:f>Graphs!$C$35:$C$43</c:f>
              <c:numCache>
                <c:formatCode>General</c:formatCode>
                <c:ptCount val="8"/>
                <c:pt idx="0">
                  <c:v>4.0608886393878905</c:v>
                </c:pt>
                <c:pt idx="1">
                  <c:v>7.0398104094579006</c:v>
                </c:pt>
                <c:pt idx="2">
                  <c:v>9.7617203118752496</c:v>
                </c:pt>
                <c:pt idx="3">
                  <c:v>12.552217223650384</c:v>
                </c:pt>
                <c:pt idx="4">
                  <c:v>15.114726822473299</c:v>
                </c:pt>
                <c:pt idx="5">
                  <c:v>16.338673247448554</c:v>
                </c:pt>
                <c:pt idx="6">
                  <c:v>17.063821422330946</c:v>
                </c:pt>
                <c:pt idx="7">
                  <c:v>18.256490547519451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B9-467A-90C0-15A129886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9961343"/>
        <c:axId val="960988559"/>
      </c:barChart>
      <c:catAx>
        <c:axId val="92996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Transfer</a:t>
                </a:r>
                <a:r>
                  <a:rPr lang="en-US" sz="1600" b="1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 Size (words)</a:t>
                </a:r>
                <a:endParaRPr lang="en-US" sz="1600" b="1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988559"/>
        <c:crosses val="autoZero"/>
        <c:auto val="1"/>
        <c:lblAlgn val="ctr"/>
        <c:lblOffset val="100"/>
        <c:noMultiLvlLbl val="0"/>
      </c:catAx>
      <c:valAx>
        <c:axId val="96098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1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Throughput (MB/s)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961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[scenario_1_graphs.xlsx]Graphs!PivotTable1</c:name>
    <c:fmtId val="0"/>
  </c:pivotSource>
  <c:chart>
    <c:autoTitleDeleted val="1"/>
    <c:pivotFmts>
      <c:pivotFmt>
        <c:idx val="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Graphs!$B$59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1"/>
          <c:cat>
            <c:strRef>
              <c:f>Graphs!$A$60:$A$68</c:f>
              <c:strCache>
                <c:ptCount val="8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  <c:pt idx="4">
                  <c:v>256</c:v>
                </c:pt>
                <c:pt idx="5">
                  <c:v>512</c:v>
                </c:pt>
                <c:pt idx="6">
                  <c:v>1024</c:v>
                </c:pt>
                <c:pt idx="7">
                  <c:v>2048</c:v>
                </c:pt>
              </c:strCache>
            </c:strRef>
          </c:cat>
          <c:val>
            <c:numRef>
              <c:f>Graphs!$B$60:$B$68</c:f>
              <c:numCache>
                <c:formatCode>0%</c:formatCode>
                <c:ptCount val="8"/>
                <c:pt idx="0">
                  <c:v>-0.5442448436460412</c:v>
                </c:pt>
                <c:pt idx="1">
                  <c:v>-0.47231833910034604</c:v>
                </c:pt>
                <c:pt idx="2">
                  <c:v>-0.43982407037185123</c:v>
                </c:pt>
                <c:pt idx="3">
                  <c:v>-0.30668380462724931</c:v>
                </c:pt>
                <c:pt idx="4">
                  <c:v>-0.18433678997059277</c:v>
                </c:pt>
                <c:pt idx="5">
                  <c:v>0.32926217165802241</c:v>
                </c:pt>
                <c:pt idx="6">
                  <c:v>0.36510571378647572</c:v>
                </c:pt>
                <c:pt idx="7">
                  <c:v>0.35241745145234038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6565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F1CA-499B-B0F4-4A73980685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7273839"/>
        <c:axId val="267274319"/>
      </c:barChart>
      <c:catAx>
        <c:axId val="2672738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Transfer Size (words)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7274319"/>
        <c:crosses val="autoZero"/>
        <c:auto val="1"/>
        <c:lblAlgn val="ctr"/>
        <c:lblOffset val="100"/>
        <c:noMultiLvlLbl val="0"/>
      </c:catAx>
      <c:valAx>
        <c:axId val="26727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1"/>
                  <a:t>Percent improvement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7273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380999</xdr:colOff>
      <xdr:row>3</xdr:row>
      <xdr:rowOff>9525</xdr:rowOff>
    </xdr:from>
    <xdr:to>
      <xdr:col>17</xdr:col>
      <xdr:colOff>314324</xdr:colOff>
      <xdr:row>26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13B0CA-250F-8367-5731-013E6C722B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309561</xdr:colOff>
      <xdr:row>28</xdr:row>
      <xdr:rowOff>100011</xdr:rowOff>
    </xdr:from>
    <xdr:to>
      <xdr:col>17</xdr:col>
      <xdr:colOff>428624</xdr:colOff>
      <xdr:row>53</xdr:row>
      <xdr:rowOff>28574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D62A4A-BF17-F7A6-0D09-8FBF8BA54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295274</xdr:colOff>
      <xdr:row>55</xdr:row>
      <xdr:rowOff>157161</xdr:rowOff>
    </xdr:from>
    <xdr:to>
      <xdr:col>17</xdr:col>
      <xdr:colOff>476249</xdr:colOff>
      <xdr:row>81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3E56EBB-C88E-92F0-64C8-2B6BDBF28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than Thomas" refreshedDate="45977.597096064812" createdVersion="8" refreshedVersion="8" minRefreshableVersion="3" recordCount="16" xr:uid="{BBFBA4B1-8726-4124-B3C9-ED8659011608}">
  <cacheSource type="worksheet">
    <worksheetSource ref="A1:E17" sheet="Data"/>
  </cacheSource>
  <cacheFields count="5">
    <cacheField name="TX buffer size" numFmtId="0">
      <sharedItems containsSemiMixedTypes="0" containsString="0" containsNumber="1" containsInteger="1" minValue="16" maxValue="2048" count="8">
        <n v="2048"/>
        <n v="1024"/>
        <n v="512"/>
        <n v="256"/>
        <n v="128"/>
        <n v="64"/>
        <n v="32"/>
        <n v="16"/>
      </sharedItems>
    </cacheField>
    <cacheField name="Method" numFmtId="0">
      <sharedItems count="2">
        <s v="memcpy"/>
        <s v="DMA"/>
      </sharedItems>
    </cacheField>
    <cacheField name="Lowest ARR before failure" numFmtId="0">
      <sharedItems containsSemiMixedTypes="0" containsString="0" containsNumber="1" containsInteger="1" minValue="685" maxValue="57874"/>
    </cacheField>
    <cacheField name="Frequency (Hz)" numFmtId="0">
      <sharedItems containsSemiMixedTypes="0" containsString="0" containsNumber="1" minValue="1727.8916266371773" maxValue="145985.40145985401"/>
    </cacheField>
    <cacheField name="Throughput (MB/sec)" numFmtId="0">
      <sharedItems containsSemiMixedTypes="0" containsString="0" containsNumber="1" minValue="4.0608886393878905" maxValue="18.5305977229601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than Thomas" refreshedDate="45977.892905555556" createdVersion="8" refreshedVersion="8" minRefreshableVersion="3" recordCount="8" xr:uid="{53E2F69E-6D5E-4C17-A530-A9E3143ABBEC}">
  <cacheSource type="worksheet">
    <worksheetSource ref="K1:L9" sheet="Data"/>
  </cacheSource>
  <cacheFields count="2">
    <cacheField name="TX buffer size" numFmtId="0">
      <sharedItems containsSemiMixedTypes="0" containsString="0" containsNumber="1" containsInteger="1" minValue="16" maxValue="2048" count="8">
        <n v="2048"/>
        <n v="1024"/>
        <n v="512"/>
        <n v="256"/>
        <n v="128"/>
        <n v="64"/>
        <n v="32"/>
        <n v="16"/>
      </sharedItems>
    </cacheField>
    <cacheField name="Percent change" numFmtId="9">
      <sharedItems containsSemiMixedTypes="0" containsString="0" containsNumber="1" minValue="-0.5442448436460412" maxValue="0.365105713786475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x v="0"/>
    <x v="0"/>
    <n v="57874"/>
    <n v="1727.8916266371773"/>
    <n v="13.499153333102948"/>
  </r>
  <r>
    <x v="0"/>
    <x v="1"/>
    <n v="42793"/>
    <n v="2336.8307900824898"/>
    <n v="18.256490547519451"/>
  </r>
  <r>
    <x v="1"/>
    <x v="0"/>
    <n v="31250"/>
    <n v="3200"/>
    <n v="12.5"/>
  </r>
  <r>
    <x v="1"/>
    <x v="1"/>
    <n v="22892"/>
    <n v="4368.3382841167222"/>
    <n v="17.063821422330946"/>
  </r>
  <r>
    <x v="2"/>
    <x v="0"/>
    <n v="15890"/>
    <n v="6293.2662051604775"/>
    <n v="12.291535556954058"/>
  </r>
  <r>
    <x v="2"/>
    <x v="1"/>
    <n v="11954"/>
    <n v="8365.4007026936597"/>
    <n v="16.338673247448554"/>
  </r>
  <r>
    <x v="3"/>
    <x v="0"/>
    <n v="5270"/>
    <n v="18975.332068311196"/>
    <n v="18.530597722960152"/>
  </r>
  <r>
    <x v="3"/>
    <x v="1"/>
    <n v="6461"/>
    <n v="15477.480266212659"/>
    <n v="15.114726822473299"/>
  </r>
  <r>
    <x v="4"/>
    <x v="0"/>
    <n v="2697"/>
    <n v="37078.23507601038"/>
    <n v="18.104606970708193"/>
  </r>
  <r>
    <x v="4"/>
    <x v="1"/>
    <n v="3890"/>
    <n v="25706.940874035987"/>
    <n v="12.552217223650384"/>
  </r>
  <r>
    <x v="5"/>
    <x v="0"/>
    <n v="1401"/>
    <n v="71377.587437544615"/>
    <n v="17.426168807994291"/>
  </r>
  <r>
    <x v="5"/>
    <x v="1"/>
    <n v="2501"/>
    <n v="39984.006397441022"/>
    <n v="9.7617203118752496"/>
  </r>
  <r>
    <x v="6"/>
    <x v="0"/>
    <n v="915"/>
    <n v="109289.61748633879"/>
    <n v="13.34101775956284"/>
  </r>
  <r>
    <x v="6"/>
    <x v="1"/>
    <n v="1734"/>
    <n v="57670.126874279122"/>
    <n v="7.0398104094579006"/>
  </r>
  <r>
    <x v="7"/>
    <x v="0"/>
    <n v="685"/>
    <n v="145985.40145985401"/>
    <n v="8.9102417883211675"/>
  </r>
  <r>
    <x v="7"/>
    <x v="1"/>
    <n v="1503"/>
    <n v="66533.599467731197"/>
    <n v="4.060888639387890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0.35241745145234038"/>
  </r>
  <r>
    <x v="1"/>
    <n v="0.36510571378647572"/>
  </r>
  <r>
    <x v="2"/>
    <n v="0.32926217165802241"/>
  </r>
  <r>
    <x v="3"/>
    <n v="-0.18433678997059277"/>
  </r>
  <r>
    <x v="4"/>
    <n v="-0.30668380462724931"/>
  </r>
  <r>
    <x v="5"/>
    <n v="-0.43982407037185123"/>
  </r>
  <r>
    <x v="6"/>
    <n v="-0.47231833910034604"/>
  </r>
  <r>
    <x v="7"/>
    <n v="-0.54424484364604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E93EA2-7E5C-41EF-B7FC-C7680717BE30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3:D13" firstHeaderRow="1" firstDataRow="2" firstDataCol="1"/>
  <pivotFields count="5">
    <pivotField axis="axisRow" showAll="0" sortType="ascending">
      <items count="9">
        <item x="7"/>
        <item x="6"/>
        <item x="5"/>
        <item x="4"/>
        <item x="3"/>
        <item x="2"/>
        <item x="1"/>
        <item x="0"/>
        <item t="default"/>
      </items>
    </pivotField>
    <pivotField axis="axisCol" showAll="0" sortType="descending">
      <items count="3">
        <item x="0"/>
        <item x="1"/>
        <item t="default"/>
      </items>
    </pivotField>
    <pivotField showAll="0"/>
    <pivotField dataField="1" showAll="0"/>
    <pivotField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Frequency (Hz)" fld="3" baseField="0" baseItem="0"/>
  </dataFields>
  <chartFormats count="6">
    <chartFormat chart="1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E56533-E96F-4E35-A0C6-ADC8B331FE6F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59:B68" firstHeaderRow="1" firstDataRow="1" firstDataCol="1"/>
  <pivotFields count="2">
    <pivotField axis="axisRow" showAll="0">
      <items count="9">
        <item x="7"/>
        <item x="6"/>
        <item x="5"/>
        <item x="4"/>
        <item x="3"/>
        <item x="2"/>
        <item x="1"/>
        <item x="0"/>
        <item t="default"/>
      </items>
    </pivotField>
    <pivotField dataField="1" numFmtId="9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Percent change" fld="1" baseField="0" baseItem="0" numFmtId="9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49E34A-AC1B-4BDE-9592-CCE32E93B475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33:D43" firstHeaderRow="1" firstDataRow="2" firstDataCol="1"/>
  <pivotFields count="5">
    <pivotField axis="axisRow" showAll="0">
      <items count="9">
        <item x="7"/>
        <item x="6"/>
        <item x="5"/>
        <item x="4"/>
        <item x="3"/>
        <item x="2"/>
        <item x="1"/>
        <item x="0"/>
        <item t="default"/>
      </items>
    </pivotField>
    <pivotField axis="axisCol" showAll="0" sortType="descending">
      <items count="3">
        <item x="0"/>
        <item x="1"/>
        <item t="default"/>
      </items>
    </pivotField>
    <pivotField showAll="0"/>
    <pivotField showAll="0"/>
    <pivotField dataField="1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Throughput (MB/sec)" fld="4" baseField="0" baseItem="0"/>
  </dataFields>
  <chartFormats count="10">
    <chartFormat chart="0" format="0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3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3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4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4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EBC8C-CD68-40A7-B0CE-FA25E2321076}">
  <dimension ref="A1:L17"/>
  <sheetViews>
    <sheetView zoomScale="130" zoomScaleNormal="130" workbookViewId="0">
      <selection activeCell="L10" sqref="L10"/>
    </sheetView>
  </sheetViews>
  <sheetFormatPr defaultRowHeight="15" x14ac:dyDescent="0.25"/>
  <cols>
    <col min="1" max="1" width="12.5703125" bestFit="1" customWidth="1"/>
    <col min="2" max="2" width="12.5703125" customWidth="1"/>
    <col min="3" max="3" width="23.42578125" bestFit="1" customWidth="1"/>
    <col min="4" max="4" width="14.140625" bestFit="1" customWidth="1"/>
    <col min="5" max="5" width="21.7109375" bestFit="1" customWidth="1"/>
    <col min="10" max="10" width="44.5703125" bestFit="1" customWidth="1"/>
    <col min="11" max="11" width="12.5703125" bestFit="1" customWidth="1"/>
    <col min="12" max="12" width="32.28515625" bestFit="1" customWidth="1"/>
  </cols>
  <sheetData>
    <row r="1" spans="1:12" x14ac:dyDescent="0.25">
      <c r="A1" t="s">
        <v>0</v>
      </c>
      <c r="B1" t="s">
        <v>2</v>
      </c>
      <c r="C1" t="s">
        <v>1</v>
      </c>
      <c r="D1" t="s">
        <v>11</v>
      </c>
      <c r="E1" t="s">
        <v>12</v>
      </c>
      <c r="F1" t="s">
        <v>5</v>
      </c>
      <c r="J1" t="s">
        <v>16</v>
      </c>
      <c r="K1" t="s">
        <v>0</v>
      </c>
      <c r="L1" t="s">
        <v>15</v>
      </c>
    </row>
    <row r="2" spans="1:12" x14ac:dyDescent="0.25">
      <c r="A2">
        <v>2048</v>
      </c>
      <c r="B2" t="s">
        <v>3</v>
      </c>
      <c r="C2">
        <v>57874</v>
      </c>
      <c r="D2">
        <f>1/(POWER(10,-8)*C2)</f>
        <v>1727.8916266371773</v>
      </c>
      <c r="E2">
        <f>4*((D2*A2)/POWER(2,20))</f>
        <v>13.499153333102948</v>
      </c>
      <c r="F2" t="s">
        <v>6</v>
      </c>
      <c r="J2" t="s">
        <v>17</v>
      </c>
      <c r="K2">
        <v>2048</v>
      </c>
      <c r="L2" s="3">
        <f>C2/C3-1</f>
        <v>0.35241745145234038</v>
      </c>
    </row>
    <row r="3" spans="1:12" x14ac:dyDescent="0.25">
      <c r="A3">
        <v>2048</v>
      </c>
      <c r="B3" t="s">
        <v>4</v>
      </c>
      <c r="C3">
        <v>42793</v>
      </c>
      <c r="D3">
        <f t="shared" ref="D3:D17" si="0">1/(POWER(10,-8)*C3)</f>
        <v>2336.8307900824898</v>
      </c>
      <c r="E3">
        <f t="shared" ref="E3:E17" si="1">4*((D3*A3)/POWER(2,20))</f>
        <v>18.256490547519451</v>
      </c>
      <c r="F3" t="s">
        <v>6</v>
      </c>
      <c r="K3">
        <v>1024</v>
      </c>
      <c r="L3" s="3">
        <f>C4/C5-1</f>
        <v>0.36510571378647572</v>
      </c>
    </row>
    <row r="4" spans="1:12" x14ac:dyDescent="0.25">
      <c r="A4">
        <v>1024</v>
      </c>
      <c r="B4" t="s">
        <v>3</v>
      </c>
      <c r="C4">
        <v>31250</v>
      </c>
      <c r="D4">
        <f t="shared" si="0"/>
        <v>3200</v>
      </c>
      <c r="E4">
        <f t="shared" si="1"/>
        <v>12.5</v>
      </c>
      <c r="F4" t="s">
        <v>6</v>
      </c>
      <c r="K4">
        <v>512</v>
      </c>
      <c r="L4" s="3">
        <f>C6/C7-1</f>
        <v>0.32926217165802241</v>
      </c>
    </row>
    <row r="5" spans="1:12" x14ac:dyDescent="0.25">
      <c r="A5">
        <v>1024</v>
      </c>
      <c r="B5" t="s">
        <v>4</v>
      </c>
      <c r="C5">
        <v>22892</v>
      </c>
      <c r="D5">
        <f t="shared" si="0"/>
        <v>4368.3382841167222</v>
      </c>
      <c r="E5">
        <f t="shared" si="1"/>
        <v>17.063821422330946</v>
      </c>
      <c r="F5" t="s">
        <v>6</v>
      </c>
      <c r="K5">
        <v>256</v>
      </c>
      <c r="L5" s="3">
        <f>C8/C9-1</f>
        <v>-0.18433678997059277</v>
      </c>
    </row>
    <row r="6" spans="1:12" x14ac:dyDescent="0.25">
      <c r="A6">
        <v>512</v>
      </c>
      <c r="B6" t="s">
        <v>3</v>
      </c>
      <c r="C6">
        <v>15890</v>
      </c>
      <c r="D6">
        <f t="shared" si="0"/>
        <v>6293.2662051604775</v>
      </c>
      <c r="E6">
        <f t="shared" si="1"/>
        <v>12.291535556954058</v>
      </c>
      <c r="F6" t="s">
        <v>6</v>
      </c>
      <c r="K6">
        <v>128</v>
      </c>
      <c r="L6" s="3">
        <f>C10/C11-1</f>
        <v>-0.30668380462724931</v>
      </c>
    </row>
    <row r="7" spans="1:12" x14ac:dyDescent="0.25">
      <c r="A7">
        <v>512</v>
      </c>
      <c r="B7" t="s">
        <v>4</v>
      </c>
      <c r="C7">
        <v>11954</v>
      </c>
      <c r="D7">
        <f t="shared" si="0"/>
        <v>8365.4007026936597</v>
      </c>
      <c r="E7">
        <f t="shared" si="1"/>
        <v>16.338673247448554</v>
      </c>
      <c r="F7" t="s">
        <v>6</v>
      </c>
      <c r="K7">
        <v>64</v>
      </c>
      <c r="L7" s="3">
        <f>C12/C13-1</f>
        <v>-0.43982407037185123</v>
      </c>
    </row>
    <row r="8" spans="1:12" x14ac:dyDescent="0.25">
      <c r="A8">
        <v>256</v>
      </c>
      <c r="B8" t="s">
        <v>3</v>
      </c>
      <c r="C8">
        <v>5270</v>
      </c>
      <c r="D8">
        <f t="shared" si="0"/>
        <v>18975.332068311196</v>
      </c>
      <c r="E8">
        <f t="shared" si="1"/>
        <v>18.530597722960152</v>
      </c>
      <c r="F8" t="s">
        <v>7</v>
      </c>
      <c r="K8">
        <v>32</v>
      </c>
      <c r="L8" s="3">
        <f>C14/C15-1</f>
        <v>-0.47231833910034604</v>
      </c>
    </row>
    <row r="9" spans="1:12" x14ac:dyDescent="0.25">
      <c r="A9">
        <v>256</v>
      </c>
      <c r="B9" t="s">
        <v>4</v>
      </c>
      <c r="C9">
        <v>6461</v>
      </c>
      <c r="D9">
        <f t="shared" si="0"/>
        <v>15477.480266212659</v>
      </c>
      <c r="E9">
        <f t="shared" si="1"/>
        <v>15.114726822473299</v>
      </c>
      <c r="F9" t="s">
        <v>6</v>
      </c>
      <c r="K9">
        <v>16</v>
      </c>
      <c r="L9" s="3">
        <f>C16/C17-1</f>
        <v>-0.5442448436460412</v>
      </c>
    </row>
    <row r="10" spans="1:12" x14ac:dyDescent="0.25">
      <c r="A10">
        <v>128</v>
      </c>
      <c r="B10" t="s">
        <v>3</v>
      </c>
      <c r="C10">
        <v>2697</v>
      </c>
      <c r="D10">
        <f t="shared" si="0"/>
        <v>37078.23507601038</v>
      </c>
      <c r="E10">
        <f t="shared" si="1"/>
        <v>18.104606970708193</v>
      </c>
      <c r="F10" t="s">
        <v>7</v>
      </c>
    </row>
    <row r="11" spans="1:12" x14ac:dyDescent="0.25">
      <c r="A11">
        <v>128</v>
      </c>
      <c r="B11" t="s">
        <v>4</v>
      </c>
      <c r="C11">
        <v>3890</v>
      </c>
      <c r="D11">
        <f t="shared" si="0"/>
        <v>25706.940874035987</v>
      </c>
      <c r="E11">
        <f t="shared" si="1"/>
        <v>12.552217223650384</v>
      </c>
      <c r="F11" t="s">
        <v>6</v>
      </c>
    </row>
    <row r="12" spans="1:12" x14ac:dyDescent="0.25">
      <c r="A12">
        <v>64</v>
      </c>
      <c r="B12" t="s">
        <v>3</v>
      </c>
      <c r="C12">
        <v>1401</v>
      </c>
      <c r="D12">
        <f t="shared" si="0"/>
        <v>71377.587437544615</v>
      </c>
      <c r="E12">
        <f t="shared" si="1"/>
        <v>17.426168807994291</v>
      </c>
      <c r="F12" t="s">
        <v>7</v>
      </c>
    </row>
    <row r="13" spans="1:12" x14ac:dyDescent="0.25">
      <c r="A13">
        <v>64</v>
      </c>
      <c r="B13" t="s">
        <v>4</v>
      </c>
      <c r="C13">
        <v>2501</v>
      </c>
      <c r="D13">
        <f t="shared" si="0"/>
        <v>39984.006397441022</v>
      </c>
      <c r="E13">
        <f t="shared" si="1"/>
        <v>9.7617203118752496</v>
      </c>
      <c r="F13" t="s">
        <v>6</v>
      </c>
    </row>
    <row r="14" spans="1:12" x14ac:dyDescent="0.25">
      <c r="A14">
        <v>32</v>
      </c>
      <c r="B14" t="s">
        <v>3</v>
      </c>
      <c r="C14">
        <v>915</v>
      </c>
      <c r="D14">
        <f t="shared" si="0"/>
        <v>109289.61748633879</v>
      </c>
      <c r="E14">
        <f t="shared" si="1"/>
        <v>13.34101775956284</v>
      </c>
      <c r="F14" t="s">
        <v>6</v>
      </c>
    </row>
    <row r="15" spans="1:12" x14ac:dyDescent="0.25">
      <c r="A15">
        <v>32</v>
      </c>
      <c r="B15" t="s">
        <v>4</v>
      </c>
      <c r="C15">
        <v>1734</v>
      </c>
      <c r="D15">
        <f t="shared" si="0"/>
        <v>57670.126874279122</v>
      </c>
      <c r="E15">
        <f t="shared" si="1"/>
        <v>7.0398104094579006</v>
      </c>
      <c r="F15" t="s">
        <v>6</v>
      </c>
    </row>
    <row r="16" spans="1:12" x14ac:dyDescent="0.25">
      <c r="A16">
        <v>16</v>
      </c>
      <c r="B16" t="s">
        <v>3</v>
      </c>
      <c r="C16">
        <v>685</v>
      </c>
      <c r="D16">
        <f t="shared" si="0"/>
        <v>145985.40145985401</v>
      </c>
      <c r="E16">
        <f t="shared" si="1"/>
        <v>8.9102417883211675</v>
      </c>
      <c r="F16" t="s">
        <v>6</v>
      </c>
    </row>
    <row r="17" spans="1:6" x14ac:dyDescent="0.25">
      <c r="A17">
        <v>16</v>
      </c>
      <c r="B17" t="s">
        <v>4</v>
      </c>
      <c r="C17">
        <v>1503</v>
      </c>
      <c r="D17">
        <f t="shared" si="0"/>
        <v>66533.599467731197</v>
      </c>
      <c r="E17">
        <f t="shared" si="1"/>
        <v>4.0608886393878905</v>
      </c>
      <c r="F17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4A40-95E9-44B0-90D9-3F510A203314}">
  <dimension ref="A3:D68"/>
  <sheetViews>
    <sheetView tabSelected="1" topLeftCell="A22" workbookViewId="0">
      <selection activeCell="W77" sqref="W77"/>
    </sheetView>
  </sheetViews>
  <sheetFormatPr defaultRowHeight="15" x14ac:dyDescent="0.25"/>
  <cols>
    <col min="1" max="1" width="13.42578125" bestFit="1" customWidth="1"/>
    <col min="2" max="2" width="22" bestFit="1" customWidth="1"/>
    <col min="3" max="6" width="12" bestFit="1" customWidth="1"/>
    <col min="7" max="7" width="11" bestFit="1" customWidth="1"/>
    <col min="8" max="9" width="12" bestFit="1" customWidth="1"/>
    <col min="10" max="10" width="10" bestFit="1" customWidth="1"/>
    <col min="11" max="11" width="12" bestFit="1" customWidth="1"/>
    <col min="12" max="12" width="5" bestFit="1" customWidth="1"/>
    <col min="13" max="18" width="12" bestFit="1" customWidth="1"/>
    <col min="19" max="19" width="13.7109375" bestFit="1" customWidth="1"/>
    <col min="20" max="20" width="11.28515625" bestFit="1" customWidth="1"/>
  </cols>
  <sheetData>
    <row r="3" spans="1:4" x14ac:dyDescent="0.25">
      <c r="A3" s="1" t="s">
        <v>13</v>
      </c>
      <c r="B3" s="1" t="s">
        <v>10</v>
      </c>
    </row>
    <row r="4" spans="1:4" x14ac:dyDescent="0.25">
      <c r="A4" s="1" t="s">
        <v>8</v>
      </c>
      <c r="B4" t="s">
        <v>3</v>
      </c>
      <c r="C4" t="s">
        <v>4</v>
      </c>
      <c r="D4" t="s">
        <v>9</v>
      </c>
    </row>
    <row r="5" spans="1:4" x14ac:dyDescent="0.25">
      <c r="A5" s="2">
        <v>16</v>
      </c>
      <c r="B5">
        <v>145985.40145985401</v>
      </c>
      <c r="C5">
        <v>66533.599467731197</v>
      </c>
      <c r="D5">
        <v>212519.00092758521</v>
      </c>
    </row>
    <row r="6" spans="1:4" x14ac:dyDescent="0.25">
      <c r="A6" s="2">
        <v>32</v>
      </c>
      <c r="B6">
        <v>109289.61748633879</v>
      </c>
      <c r="C6">
        <v>57670.126874279122</v>
      </c>
      <c r="D6">
        <v>166959.74436061791</v>
      </c>
    </row>
    <row r="7" spans="1:4" x14ac:dyDescent="0.25">
      <c r="A7" s="2">
        <v>64</v>
      </c>
      <c r="B7">
        <v>71377.587437544615</v>
      </c>
      <c r="C7">
        <v>39984.006397441022</v>
      </c>
      <c r="D7">
        <v>111361.59383498563</v>
      </c>
    </row>
    <row r="8" spans="1:4" x14ac:dyDescent="0.25">
      <c r="A8" s="2">
        <v>128</v>
      </c>
      <c r="B8">
        <v>37078.23507601038</v>
      </c>
      <c r="C8">
        <v>25706.940874035987</v>
      </c>
      <c r="D8">
        <v>62785.175950046367</v>
      </c>
    </row>
    <row r="9" spans="1:4" x14ac:dyDescent="0.25">
      <c r="A9" s="2">
        <v>256</v>
      </c>
      <c r="B9">
        <v>18975.332068311196</v>
      </c>
      <c r="C9">
        <v>15477.480266212659</v>
      </c>
      <c r="D9">
        <v>34452.812334523856</v>
      </c>
    </row>
    <row r="10" spans="1:4" x14ac:dyDescent="0.25">
      <c r="A10" s="2">
        <v>512</v>
      </c>
      <c r="B10">
        <v>6293.2662051604775</v>
      </c>
      <c r="C10">
        <v>8365.4007026936597</v>
      </c>
      <c r="D10">
        <v>14658.666907854138</v>
      </c>
    </row>
    <row r="11" spans="1:4" x14ac:dyDescent="0.25">
      <c r="A11" s="2">
        <v>1024</v>
      </c>
      <c r="B11">
        <v>3200</v>
      </c>
      <c r="C11">
        <v>4368.3382841167222</v>
      </c>
      <c r="D11">
        <v>7568.3382841167222</v>
      </c>
    </row>
    <row r="12" spans="1:4" x14ac:dyDescent="0.25">
      <c r="A12" s="2">
        <v>2048</v>
      </c>
      <c r="B12">
        <v>1727.8916266371773</v>
      </c>
      <c r="C12">
        <v>2336.8307900824898</v>
      </c>
      <c r="D12">
        <v>4064.7224167196673</v>
      </c>
    </row>
    <row r="13" spans="1:4" x14ac:dyDescent="0.25">
      <c r="A13" s="2" t="s">
        <v>9</v>
      </c>
      <c r="B13">
        <v>393927.3313598567</v>
      </c>
      <c r="C13">
        <v>220442.72365659289</v>
      </c>
      <c r="D13">
        <v>614370.05501644954</v>
      </c>
    </row>
    <row r="33" spans="1:4" x14ac:dyDescent="0.25">
      <c r="A33" s="1" t="s">
        <v>14</v>
      </c>
      <c r="B33" s="1" t="s">
        <v>10</v>
      </c>
    </row>
    <row r="34" spans="1:4" x14ac:dyDescent="0.25">
      <c r="A34" s="1" t="s">
        <v>8</v>
      </c>
      <c r="B34" t="s">
        <v>3</v>
      </c>
      <c r="C34" t="s">
        <v>4</v>
      </c>
      <c r="D34" t="s">
        <v>9</v>
      </c>
    </row>
    <row r="35" spans="1:4" x14ac:dyDescent="0.25">
      <c r="A35" s="2">
        <v>16</v>
      </c>
      <c r="B35">
        <v>8.9102417883211675</v>
      </c>
      <c r="C35">
        <v>4.0608886393878905</v>
      </c>
      <c r="D35">
        <v>12.971130427709058</v>
      </c>
    </row>
    <row r="36" spans="1:4" x14ac:dyDescent="0.25">
      <c r="A36" s="2">
        <v>32</v>
      </c>
      <c r="B36">
        <v>13.34101775956284</v>
      </c>
      <c r="C36">
        <v>7.0398104094579006</v>
      </c>
      <c r="D36">
        <v>20.380828169020742</v>
      </c>
    </row>
    <row r="37" spans="1:4" x14ac:dyDescent="0.25">
      <c r="A37" s="2">
        <v>64</v>
      </c>
      <c r="B37">
        <v>17.426168807994291</v>
      </c>
      <c r="C37">
        <v>9.7617203118752496</v>
      </c>
      <c r="D37">
        <v>27.187889119869538</v>
      </c>
    </row>
    <row r="38" spans="1:4" x14ac:dyDescent="0.25">
      <c r="A38" s="2">
        <v>128</v>
      </c>
      <c r="B38">
        <v>18.104606970708193</v>
      </c>
      <c r="C38">
        <v>12.552217223650384</v>
      </c>
      <c r="D38">
        <v>30.656824194358578</v>
      </c>
    </row>
    <row r="39" spans="1:4" x14ac:dyDescent="0.25">
      <c r="A39" s="2">
        <v>256</v>
      </c>
      <c r="B39">
        <v>18.530597722960152</v>
      </c>
      <c r="C39">
        <v>15.114726822473299</v>
      </c>
      <c r="D39">
        <v>33.645324545433454</v>
      </c>
    </row>
    <row r="40" spans="1:4" x14ac:dyDescent="0.25">
      <c r="A40" s="2">
        <v>512</v>
      </c>
      <c r="B40">
        <v>12.291535556954058</v>
      </c>
      <c r="C40">
        <v>16.338673247448554</v>
      </c>
      <c r="D40">
        <v>28.630208804402614</v>
      </c>
    </row>
    <row r="41" spans="1:4" x14ac:dyDescent="0.25">
      <c r="A41" s="2">
        <v>1024</v>
      </c>
      <c r="B41">
        <v>12.5</v>
      </c>
      <c r="C41">
        <v>17.063821422330946</v>
      </c>
      <c r="D41">
        <v>29.563821422330946</v>
      </c>
    </row>
    <row r="42" spans="1:4" x14ac:dyDescent="0.25">
      <c r="A42" s="2">
        <v>2048</v>
      </c>
      <c r="B42">
        <v>13.499153333102948</v>
      </c>
      <c r="C42">
        <v>18.256490547519451</v>
      </c>
      <c r="D42">
        <v>31.755643880622401</v>
      </c>
    </row>
    <row r="43" spans="1:4" x14ac:dyDescent="0.25">
      <c r="A43" s="2" t="s">
        <v>9</v>
      </c>
      <c r="B43">
        <v>114.60332193960366</v>
      </c>
      <c r="C43">
        <v>100.18834862414367</v>
      </c>
      <c r="D43">
        <v>214.79167056374735</v>
      </c>
    </row>
    <row r="59" spans="1:2" x14ac:dyDescent="0.25">
      <c r="A59" s="1" t="s">
        <v>8</v>
      </c>
      <c r="B59" t="s">
        <v>18</v>
      </c>
    </row>
    <row r="60" spans="1:2" x14ac:dyDescent="0.25">
      <c r="A60" s="2">
        <v>16</v>
      </c>
      <c r="B60" s="4">
        <v>-0.5442448436460412</v>
      </c>
    </row>
    <row r="61" spans="1:2" x14ac:dyDescent="0.25">
      <c r="A61" s="2">
        <v>32</v>
      </c>
      <c r="B61" s="4">
        <v>-0.47231833910034604</v>
      </c>
    </row>
    <row r="62" spans="1:2" x14ac:dyDescent="0.25">
      <c r="A62" s="2">
        <v>64</v>
      </c>
      <c r="B62" s="4">
        <v>-0.43982407037185123</v>
      </c>
    </row>
    <row r="63" spans="1:2" x14ac:dyDescent="0.25">
      <c r="A63" s="2">
        <v>128</v>
      </c>
      <c r="B63" s="4">
        <v>-0.30668380462724931</v>
      </c>
    </row>
    <row r="64" spans="1:2" x14ac:dyDescent="0.25">
      <c r="A64" s="2">
        <v>256</v>
      </c>
      <c r="B64" s="4">
        <v>-0.18433678997059277</v>
      </c>
    </row>
    <row r="65" spans="1:2" x14ac:dyDescent="0.25">
      <c r="A65" s="2">
        <v>512</v>
      </c>
      <c r="B65" s="4">
        <v>0.32926217165802241</v>
      </c>
    </row>
    <row r="66" spans="1:2" x14ac:dyDescent="0.25">
      <c r="A66" s="2">
        <v>1024</v>
      </c>
      <c r="B66" s="4">
        <v>0.36510571378647572</v>
      </c>
    </row>
    <row r="67" spans="1:2" x14ac:dyDescent="0.25">
      <c r="A67" s="2">
        <v>2048</v>
      </c>
      <c r="B67" s="4">
        <v>0.35241745145234038</v>
      </c>
    </row>
    <row r="68" spans="1:2" x14ac:dyDescent="0.25">
      <c r="A68" s="2" t="s">
        <v>9</v>
      </c>
      <c r="B68" s="4">
        <v>-0.90062251081924205</v>
      </c>
    </row>
  </sheetData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Graphs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Thomas</dc:creator>
  <cp:lastModifiedBy>Ethan Thomas</cp:lastModifiedBy>
  <dcterms:created xsi:type="dcterms:W3CDTF">2025-11-16T18:32:48Z</dcterms:created>
  <dcterms:modified xsi:type="dcterms:W3CDTF">2025-11-17T02:30:29Z</dcterms:modified>
</cp:coreProperties>
</file>