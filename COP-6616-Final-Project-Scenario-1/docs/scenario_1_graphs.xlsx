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cuments\UCF\UCF Year 7\COP-6616-Final-Project\COP-6616-Final-Project-Scenario-1\docs\"/>
    </mc:Choice>
  </mc:AlternateContent>
  <xr:revisionPtr revIDLastSave="0" documentId="13_ncr:1_{1B99B79D-B699-4D4D-ADE9-997B7E132B90}" xr6:coauthVersionLast="47" xr6:coauthVersionMax="47" xr10:uidLastSave="{00000000-0000-0000-0000-000000000000}"/>
  <bookViews>
    <workbookView xWindow="-120" yWindow="-120" windowWidth="38640" windowHeight="21120" activeTab="1" xr2:uid="{44B590F9-641C-46CB-B2DD-1B7EC7A4B0D1}"/>
  </bookViews>
  <sheets>
    <sheet name="Data" sheetId="1" r:id="rId1"/>
    <sheet name="Graphs" sheetId="3" r:id="rId2"/>
  </sheet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<sst xmlns="http://schemas.openxmlformats.org/spreadsheetml/2006/main" count="52" uniqueCount="15">
  <si>
    <t>TX buffer size</t>
  </si>
  <si>
    <t>Lowest ARR before failure</t>
  </si>
  <si>
    <t>Method</t>
  </si>
  <si>
    <t>memcpy</t>
  </si>
  <si>
    <t>DMA</t>
  </si>
  <si>
    <t>Failure side</t>
  </si>
  <si>
    <t>TX</t>
  </si>
  <si>
    <t>RX</t>
  </si>
  <si>
    <t>Row Labels</t>
  </si>
  <si>
    <t>Grand Total</t>
  </si>
  <si>
    <t>Column Labels</t>
  </si>
  <si>
    <t>Frequency (Hz)</t>
  </si>
  <si>
    <t>Throughput (MB/sec)</t>
  </si>
  <si>
    <t>Sum of Frequency (Hz)</t>
  </si>
  <si>
    <t>Sum of Throughput (MB/sec)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</si>
</sst>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[scenario_1_graphs.xlsx]Graphs!PivotTable10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Maximum Request</a:t>
            </a:r>
            <a:r>
              <a:rPr lang="en-US" baseline="0"/>
              <a:t> Frequency</a:t>
            </a:r>
            <a:endParaRPr lang="en-US"/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Graphs!$B$3:$B$4</c:f>
              <c:strCache>
                <c:ptCount val="1"/>
                <c:pt idx="0">
                  <c:v>memcpy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Graphs!$A$5:$A$13</c:f>
              <c:strCache>
                <c:ptCount val="8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</c:strCache>
            </c:strRef>
          </c:cat>
          <c:val>
            <c:numRef>
              <c:f>Graphs!$B$5:$B$13</c:f>
              <c:numCache>
                <c:formatCode>General</c:formatCode>
                <c:ptCount val="8"/>
                <c:pt idx="0">
                  <c:v>145985.40145985401</c:v>
                </c:pt>
                <c:pt idx="1">
                  <c:v>109289.61748633879</c:v>
                </c:pt>
                <c:pt idx="2">
                  <c:v>71377.587437544615</c:v>
                </c:pt>
                <c:pt idx="3">
                  <c:v>37078.23507601038</c:v>
                </c:pt>
                <c:pt idx="4">
                  <c:v>18975.332068311196</c:v>
                </c:pt>
                <c:pt idx="5">
                  <c:v>6293.2662051604775</c:v>
                </c:pt>
                <c:pt idx="6">
                  <c:v>3200</c:v>
                </c:pt>
                <c:pt idx="7">
                  <c:v>1727.8916266371773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66D-426B-80AA-CB2B07079C3A}"/>
            </c:ext>
          </c:extLst>
        </c:ser>
        <c:ser>
          <c:idx val="1"/>
          <c:order val="1"/>
          <c:tx>
            <c:strRef>
              <c:f>Graphs!$C$3:$C$4</c:f>
              <c:strCache>
                <c:ptCount val="1"/>
                <c:pt idx="0">
                  <c:v>DMA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Graphs!$A$5:$A$13</c:f>
              <c:strCache>
                <c:ptCount val="8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</c:strCache>
            </c:strRef>
          </c:cat>
          <c:val>
            <c:numRef>
              <c:f>Graphs!$C$5:$C$13</c:f>
              <c:numCache>
                <c:formatCode>General</c:formatCode>
                <c:ptCount val="8"/>
                <c:pt idx="0">
                  <c:v>66533.599467731197</c:v>
                </c:pt>
                <c:pt idx="1">
                  <c:v>57670.126874279122</c:v>
                </c:pt>
                <c:pt idx="2">
                  <c:v>39984.006397441022</c:v>
                </c:pt>
                <c:pt idx="3">
                  <c:v>25706.940874035987</c:v>
                </c:pt>
                <c:pt idx="4">
                  <c:v>15477.480266212659</c:v>
                </c:pt>
                <c:pt idx="5">
                  <c:v>8365.4007026936597</c:v>
                </c:pt>
                <c:pt idx="6">
                  <c:v>4368.3382841167222</c:v>
                </c:pt>
                <c:pt idx="7">
                  <c:v>2336.8307900824898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66D-426B-80AA-CB2B0707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400848"/>
        <c:axId val="745401328"/>
      </c:barChart>
      <c:catAx>
        <c:axId val="74540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Transfer Size 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01328"/>
        <c:crosses val="autoZero"/>
        <c:auto val="1"/>
        <c:lblAlgn val="ctr"/>
        <c:lblOffset val="100"/>
        <c:noMultiLvlLbl val="0"/>
      </c:catAx>
      <c:valAx>
        <c:axId val="7454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00848"/>
        <c:crosses val="autoZero"/>
        <c:crossBetween val="between"/>
        <c:dispUnits>
          <c:builtInUnit val="thousands"/>
        </c:dispUnits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[scenario_1_graphs.xlsx]Graphs!PivotTable11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Maximum</a:t>
            </a:r>
            <a:r>
              <a:rPr lang="en-US" sz="1800" b="1" baseline="0"/>
              <a:t> Throughput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Graphs!$B$33:$B$34</c:f>
              <c:strCache>
                <c:ptCount val="1"/>
                <c:pt idx="0">
                  <c:v>memcpy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Graphs!$A$35:$A$43</c:f>
              <c:strCache>
                <c:ptCount val="8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</c:strCache>
            </c:strRef>
          </c:cat>
          <c:val>
            <c:numRef>
              <c:f>Graphs!$B$35:$B$43</c:f>
              <c:numCache>
                <c:formatCode>General</c:formatCode>
                <c:ptCount val="8"/>
                <c:pt idx="0">
                  <c:v>2.2275604470802919</c:v>
                </c:pt>
                <c:pt idx="1">
                  <c:v>3.33525443989071</c:v>
                </c:pt>
                <c:pt idx="2">
                  <c:v>4.3565422019985727</c:v>
                </c:pt>
                <c:pt idx="3">
                  <c:v>4.5261517426770483</c:v>
                </c:pt>
                <c:pt idx="4">
                  <c:v>4.6326494307400381</c:v>
                </c:pt>
                <c:pt idx="5">
                  <c:v>3.0728838892385144</c:v>
                </c:pt>
                <c:pt idx="6">
                  <c:v>3.125</c:v>
                </c:pt>
                <c:pt idx="7">
                  <c:v>3.3747883332757369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9-467A-90C0-15A12988672B}"/>
            </c:ext>
          </c:extLst>
        </c:ser>
        <c:ser>
          <c:idx val="1"/>
          <c:order val="1"/>
          <c:tx>
            <c:strRef>
              <c:f>Graphs!$C$33:$C$34</c:f>
              <c:strCache>
                <c:ptCount val="1"/>
                <c:pt idx="0">
                  <c:v>DMA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Graphs!$A$35:$A$43</c:f>
              <c:strCache>
                <c:ptCount val="8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</c:strCache>
            </c:strRef>
          </c:cat>
          <c:val>
            <c:numRef>
              <c:f>Graphs!$C$35:$C$43</c:f>
              <c:numCache>
                <c:formatCode>General</c:formatCode>
                <c:ptCount val="8"/>
                <c:pt idx="0">
                  <c:v>1.0152221598469726</c:v>
                </c:pt>
                <c:pt idx="1">
                  <c:v>1.7599526023644751</c:v>
                </c:pt>
                <c:pt idx="2">
                  <c:v>2.4404300779688124</c:v>
                </c:pt>
                <c:pt idx="3">
                  <c:v>3.138054305912596</c:v>
                </c:pt>
                <c:pt idx="4">
                  <c:v>3.7786817056183248</c:v>
                </c:pt>
                <c:pt idx="5">
                  <c:v>4.0846683118621385</c:v>
                </c:pt>
                <c:pt idx="6">
                  <c:v>4.2659553555827365</c:v>
                </c:pt>
                <c:pt idx="7">
                  <c:v>4.5641226368798629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9-467A-90C0-15A129886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961343"/>
        <c:axId val="960988559"/>
      </c:barChart>
      <c:catAx>
        <c:axId val="92996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Transfer</a:t>
                </a:r>
                <a:r>
                  <a:rPr lang="en-US" b="1" baseline="0"/>
                  <a:t> Size (bytes)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88559"/>
        <c:crosses val="autoZero"/>
        <c:auto val="1"/>
        <c:lblAlgn val="ctr"/>
        <c:lblOffset val="100"/>
        <c:noMultiLvlLbl val="0"/>
      </c:catAx>
      <c:valAx>
        <c:axId val="9609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Throughput (MB/s)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6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3</xdr:row>
      <xdr:rowOff>9525</xdr:rowOff>
    </xdr:from>
    <xdr:to>
      <xdr:col>17</xdr:col>
      <xdr:colOff>314324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3B0CA-250F-8367-5731-013E6C722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309561</xdr:colOff>
      <xdr:row>28</xdr:row>
      <xdr:rowOff>100011</xdr:rowOff>
    </xdr:from>
    <xdr:to>
      <xdr:col>17</xdr:col>
      <xdr:colOff>428624</xdr:colOff>
      <xdr:row>53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62A4A-BF17-F7A6-0D09-8FBF8BA54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 Thomas" refreshedDate="45977.57187349537" createdVersion="8" refreshedVersion="8" minRefreshableVersion="3" recordCount="16" xr:uid="{BBFBA4B1-8726-4124-B3C9-ED8659011608}">
  <cacheSource type="worksheet">
    <worksheetSource ref="A1:E17" sheet="Data"/>
  </cacheSource>
  <cacheFields count="5">
    <cacheField name="TX buffer size" numFmtId="0">
      <sharedItems containsSemiMixedTypes="0" containsString="0" containsNumber="1" containsInteger="1" minValue="16" maxValue="2048" count="8">
        <n v="2048"/>
        <n v="1024"/>
        <n v="512"/>
        <n v="256"/>
        <n v="128"/>
        <n v="64"/>
        <n v="32"/>
        <n v="16"/>
      </sharedItems>
    </cacheField>
    <cacheField name="Method" numFmtId="0">
      <sharedItems count="2">
        <s v="memcpy"/>
        <s v="DMA"/>
      </sharedItems>
    </cacheField>
    <cacheField name="Lowest ARR before failure" numFmtId="0">
      <sharedItems containsSemiMixedTypes="0" containsString="0" containsNumber="1" containsInteger="1" minValue="685" maxValue="57874"/>
    </cacheField>
    <cacheField name="Frequency (Hz)" numFmtId="0">
      <sharedItems containsSemiMixedTypes="0" containsString="0" containsNumber="1" minValue="1727.8916266371773" maxValue="145985.40145985401" count="16">
        <n v="1727.8916266371773"/>
        <n v="2336.8307900824898"/>
        <n v="3200"/>
        <n v="4368.3382841167222"/>
        <n v="6293.2662051604775"/>
        <n v="8365.4007026936597"/>
        <n v="18975.332068311196"/>
        <n v="15477.480266212659"/>
        <n v="37078.23507601038"/>
        <n v="25706.940874035987"/>
        <n v="71377.587437544615"/>
        <n v="39984.006397441022"/>
        <n v="109289.61748633879"/>
        <n v="57670.126874279122"/>
        <n v="145985.40145985401"/>
        <n v="66533.599467731197"/>
      </sharedItems>
    </cacheField>
    <cacheField name="Throughput (MB/sec)" numFmtId="0">
      <sharedItems containsSemiMixedTypes="0" containsString="0" containsNumber="1" minValue="1.0152221598469726" maxValue="4.63264943074003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57874"/>
    <x v="0"/>
    <n v="3.3747883332757369"/>
  </r>
  <r>
    <x v="0"/>
    <x v="1"/>
    <n v="42793"/>
    <x v="1"/>
    <n v="4.5641226368798629"/>
  </r>
  <r>
    <x v="1"/>
    <x v="0"/>
    <n v="31250"/>
    <x v="2"/>
    <n v="3.125"/>
  </r>
  <r>
    <x v="1"/>
    <x v="1"/>
    <n v="22892"/>
    <x v="3"/>
    <n v="4.2659553555827365"/>
  </r>
  <r>
    <x v="2"/>
    <x v="0"/>
    <n v="15890"/>
    <x v="4"/>
    <n v="3.0728838892385144"/>
  </r>
  <r>
    <x v="2"/>
    <x v="1"/>
    <n v="11954"/>
    <x v="5"/>
    <n v="4.0846683118621385"/>
  </r>
  <r>
    <x v="3"/>
    <x v="0"/>
    <n v="5270"/>
    <x v="6"/>
    <n v="4.6326494307400381"/>
  </r>
  <r>
    <x v="3"/>
    <x v="1"/>
    <n v="6461"/>
    <x v="7"/>
    <n v="3.7786817056183248"/>
  </r>
  <r>
    <x v="4"/>
    <x v="0"/>
    <n v="2697"/>
    <x v="8"/>
    <n v="4.5261517426770483"/>
  </r>
  <r>
    <x v="4"/>
    <x v="1"/>
    <n v="3890"/>
    <x v="9"/>
    <n v="3.138054305912596"/>
  </r>
  <r>
    <x v="5"/>
    <x v="0"/>
    <n v="1401"/>
    <x v="10"/>
    <n v="4.3565422019985727"/>
  </r>
  <r>
    <x v="5"/>
    <x v="1"/>
    <n v="2501"/>
    <x v="11"/>
    <n v="2.4404300779688124"/>
  </r>
  <r>
    <x v="6"/>
    <x v="0"/>
    <n v="915"/>
    <x v="12"/>
    <n v="3.33525443989071"/>
  </r>
  <r>
    <x v="6"/>
    <x v="1"/>
    <n v="1734"/>
    <x v="13"/>
    <n v="1.7599526023644751"/>
  </r>
  <r>
    <x v="7"/>
    <x v="0"/>
    <n v="685"/>
    <x v="14"/>
    <n v="2.2275604470802919"/>
  </r>
  <r>
    <x v="7"/>
    <x v="1"/>
    <n v="1503"/>
    <x v="15"/>
    <n v="1.01522215984697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9E34A-AC1B-4BDE-9592-CCE32E93B475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3:D43" firstHeaderRow="1" firstDataRow="2" firstDataCol="1"/>
  <pivotFields count="5"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 sortType="descending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hroughput (MB/sec)" fld="4" baseField="0" baseItem="0"/>
  </dataFields>
  <chartFormats count="4">
    <chartFormat chart="0" format="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93EA2-7E5C-41EF-B7FC-C7680717BE30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3" firstHeaderRow="1" firstDataRow="2" firstDataCol="1"/>
  <pivotFields count="5">
    <pivotField axis="axisRow" showAll="0" sortType="ascending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 sortType="descending">
      <items count="3">
        <item x="0"/>
        <item x="1"/>
        <item t="default"/>
      </items>
    </pivotField>
    <pivotField showAll="0"/>
    <pivotField dataField="1" showAll="0">
      <items count="17">
        <item x="0"/>
        <item x="1"/>
        <item x="2"/>
        <item x="3"/>
        <item x="4"/>
        <item x="5"/>
        <item x="7"/>
        <item x="6"/>
        <item x="9"/>
        <item x="8"/>
        <item x="11"/>
        <item x="13"/>
        <item x="15"/>
        <item x="10"/>
        <item x="12"/>
        <item x="14"/>
        <item t="default"/>
      </items>
    </pivotField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Frequency (Hz)" fld="3" baseField="0" baseItem="0"/>
  </dataFields>
  <chartFormats count="6"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BC8C-CD68-40A7-B0CE-FA25E2321076}">
  <dimension ref="A1:F17"/>
  <sheetViews>
    <sheetView workbookViewId="0">
      <selection activeCell="C11" sqref="C11"/>
    </sheetView>
  </sheetViews>
  <sheetFormatPr defaultRowHeight="15" x14ac:dyDescent="0.25"/>
  <cols>
    <col min="1" max="1" width="12.5703125" bestFit="1" customWidth="1"/>
    <col min="2" max="2" width="12.5703125" customWidth="1"/>
    <col min="3" max="3" width="23.42578125" bestFit="1" customWidth="1"/>
    <col min="4" max="4" width="14.140625" bestFit="1" customWidth="1"/>
    <col min="5" max="5" width="21.7109375" bestFit="1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11</v>
      </c>
      <c r="E1" t="s">
        <v>12</v>
      </c>
      <c r="F1" t="s">
        <v>5</v>
      </c>
    </row>
    <row r="2" spans="1:6" x14ac:dyDescent="0.25">
      <c r="A2">
        <v>2048</v>
      </c>
      <c r="B2" t="s">
        <v>3</v>
      </c>
      <c r="C2">
        <v>57874</v>
      </c>
      <c r="D2">
        <f>1/(POWER(10,-8)*C2)</f>
        <v>1727.8916266371773</v>
      </c>
      <c r="E2">
        <f>(D2*A2)/POWER(2,20)</f>
        <v>3.3747883332757369</v>
      </c>
      <c r="F2" t="s">
        <v>6</v>
      </c>
    </row>
    <row r="3" spans="1:6" x14ac:dyDescent="0.25">
      <c r="A3">
        <v>2048</v>
      </c>
      <c r="B3" t="s">
        <v>4</v>
      </c>
      <c r="C3">
        <v>42793</v>
      </c>
      <c r="D3">
        <f t="shared" ref="D3:D17" si="0">1/(POWER(10,-8)*C3)</f>
        <v>2336.8307900824898</v>
      </c>
      <c r="E3">
        <f t="shared" ref="E3:E17" si="1">(D3*A3)/POWER(2,20)</f>
        <v>4.5641226368798629</v>
      </c>
      <c r="F3" t="s">
        <v>6</v>
      </c>
    </row>
    <row r="4" spans="1:6" x14ac:dyDescent="0.25">
      <c r="A4">
        <v>1024</v>
      </c>
      <c r="B4" t="s">
        <v>3</v>
      </c>
      <c r="C4">
        <v>31250</v>
      </c>
      <c r="D4">
        <f t="shared" si="0"/>
        <v>3200</v>
      </c>
      <c r="E4">
        <f t="shared" si="1"/>
        <v>3.125</v>
      </c>
      <c r="F4" t="s">
        <v>6</v>
      </c>
    </row>
    <row r="5" spans="1:6" x14ac:dyDescent="0.25">
      <c r="A5">
        <v>1024</v>
      </c>
      <c r="B5" t="s">
        <v>4</v>
      </c>
      <c r="C5">
        <v>22892</v>
      </c>
      <c r="D5">
        <f t="shared" si="0"/>
        <v>4368.3382841167222</v>
      </c>
      <c r="E5">
        <f t="shared" si="1"/>
        <v>4.2659553555827365</v>
      </c>
      <c r="F5" t="s">
        <v>6</v>
      </c>
    </row>
    <row r="6" spans="1:6" x14ac:dyDescent="0.25">
      <c r="A6">
        <v>512</v>
      </c>
      <c r="B6" t="s">
        <v>3</v>
      </c>
      <c r="C6">
        <v>15890</v>
      </c>
      <c r="D6">
        <f t="shared" si="0"/>
        <v>6293.2662051604775</v>
      </c>
      <c r="E6">
        <f t="shared" si="1"/>
        <v>3.0728838892385144</v>
      </c>
      <c r="F6" t="s">
        <v>6</v>
      </c>
    </row>
    <row r="7" spans="1:6" x14ac:dyDescent="0.25">
      <c r="A7">
        <v>512</v>
      </c>
      <c r="B7" t="s">
        <v>4</v>
      </c>
      <c r="C7">
        <v>11954</v>
      </c>
      <c r="D7">
        <f t="shared" si="0"/>
        <v>8365.4007026936597</v>
      </c>
      <c r="E7">
        <f t="shared" si="1"/>
        <v>4.0846683118621385</v>
      </c>
      <c r="F7" t="s">
        <v>6</v>
      </c>
    </row>
    <row r="8" spans="1:6" x14ac:dyDescent="0.25">
      <c r="A8">
        <v>256</v>
      </c>
      <c r="B8" t="s">
        <v>3</v>
      </c>
      <c r="C8">
        <v>5270</v>
      </c>
      <c r="D8">
        <f t="shared" si="0"/>
        <v>18975.332068311196</v>
      </c>
      <c r="E8">
        <f t="shared" si="1"/>
        <v>4.6326494307400381</v>
      </c>
      <c r="F8" t="s">
        <v>7</v>
      </c>
    </row>
    <row r="9" spans="1:6" x14ac:dyDescent="0.25">
      <c r="A9">
        <v>256</v>
      </c>
      <c r="B9" t="s">
        <v>4</v>
      </c>
      <c r="C9">
        <v>6461</v>
      </c>
      <c r="D9">
        <f t="shared" si="0"/>
        <v>15477.480266212659</v>
      </c>
      <c r="E9">
        <f t="shared" si="1"/>
        <v>3.7786817056183248</v>
      </c>
      <c r="F9" t="s">
        <v>6</v>
      </c>
    </row>
    <row r="10" spans="1:6" x14ac:dyDescent="0.25">
      <c r="A10">
        <v>128</v>
      </c>
      <c r="B10" t="s">
        <v>3</v>
      </c>
      <c r="C10">
        <v>2697</v>
      </c>
      <c r="D10">
        <f t="shared" si="0"/>
        <v>37078.23507601038</v>
      </c>
      <c r="E10">
        <f t="shared" si="1"/>
        <v>4.5261517426770483</v>
      </c>
      <c r="F10" t="s">
        <v>7</v>
      </c>
    </row>
    <row r="11" spans="1:6" x14ac:dyDescent="0.25">
      <c r="A11">
        <v>128</v>
      </c>
      <c r="B11" t="s">
        <v>4</v>
      </c>
      <c r="C11">
        <v>3890</v>
      </c>
      <c r="D11">
        <f t="shared" si="0"/>
        <v>25706.940874035987</v>
      </c>
      <c r="E11">
        <f t="shared" si="1"/>
        <v>3.138054305912596</v>
      </c>
      <c r="F11" t="s">
        <v>6</v>
      </c>
    </row>
    <row r="12" spans="1:6" x14ac:dyDescent="0.25">
      <c r="A12">
        <v>64</v>
      </c>
      <c r="B12" t="s">
        <v>3</v>
      </c>
      <c r="C12">
        <v>1401</v>
      </c>
      <c r="D12">
        <f t="shared" si="0"/>
        <v>71377.587437544615</v>
      </c>
      <c r="E12">
        <f t="shared" si="1"/>
        <v>4.3565422019985727</v>
      </c>
      <c r="F12" t="s">
        <v>7</v>
      </c>
    </row>
    <row r="13" spans="1:6" x14ac:dyDescent="0.25">
      <c r="A13">
        <v>64</v>
      </c>
      <c r="B13" t="s">
        <v>4</v>
      </c>
      <c r="C13">
        <v>2501</v>
      </c>
      <c r="D13">
        <f t="shared" si="0"/>
        <v>39984.006397441022</v>
      </c>
      <c r="E13">
        <f t="shared" si="1"/>
        <v>2.4404300779688124</v>
      </c>
      <c r="F13" t="s">
        <v>6</v>
      </c>
    </row>
    <row r="14" spans="1:6" x14ac:dyDescent="0.25">
      <c r="A14">
        <v>32</v>
      </c>
      <c r="B14" t="s">
        <v>3</v>
      </c>
      <c r="C14">
        <v>915</v>
      </c>
      <c r="D14">
        <f t="shared" si="0"/>
        <v>109289.61748633879</v>
      </c>
      <c r="E14">
        <f t="shared" si="1"/>
        <v>3.33525443989071</v>
      </c>
      <c r="F14" t="s">
        <v>6</v>
      </c>
    </row>
    <row r="15" spans="1:6" x14ac:dyDescent="0.25">
      <c r="A15">
        <v>32</v>
      </c>
      <c r="B15" t="s">
        <v>4</v>
      </c>
      <c r="C15">
        <v>1734</v>
      </c>
      <c r="D15">
        <f t="shared" si="0"/>
        <v>57670.126874279122</v>
      </c>
      <c r="E15">
        <f t="shared" si="1"/>
        <v>1.7599526023644751</v>
      </c>
      <c r="F15" t="s">
        <v>6</v>
      </c>
    </row>
    <row r="16" spans="1:6" x14ac:dyDescent="0.25">
      <c r="A16">
        <v>16</v>
      </c>
      <c r="B16" t="s">
        <v>3</v>
      </c>
      <c r="C16">
        <v>685</v>
      </c>
      <c r="D16">
        <f t="shared" si="0"/>
        <v>145985.40145985401</v>
      </c>
      <c r="E16">
        <f t="shared" si="1"/>
        <v>2.2275604470802919</v>
      </c>
      <c r="F16" t="s">
        <v>6</v>
      </c>
    </row>
    <row r="17" spans="1:6" x14ac:dyDescent="0.25">
      <c r="A17">
        <v>16</v>
      </c>
      <c r="B17" t="s">
        <v>4</v>
      </c>
      <c r="C17">
        <v>1503</v>
      </c>
      <c r="D17">
        <f t="shared" si="0"/>
        <v>66533.599467731197</v>
      </c>
      <c r="E17">
        <f t="shared" si="1"/>
        <v>1.0152221598469726</v>
      </c>
      <c r="F1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4A40-95E9-44B0-90D9-3F510A203314}">
  <dimension ref="A3:D43"/>
  <sheetViews>
    <sheetView tabSelected="1" workbookViewId="0">
      <selection activeCell="T18" sqref="T18"/>
    </sheetView>
  </sheetViews>
  <sheetFormatPr defaultRowHeight="15" x14ac:dyDescent="0.25"/>
  <cols>
    <col min="1" max="1" width="21.7109375" bestFit="1" customWidth="1"/>
    <col min="2" max="2" width="16.85546875" bestFit="1" customWidth="1"/>
    <col min="3" max="6" width="12" bestFit="1" customWidth="1"/>
    <col min="7" max="7" width="11" bestFit="1" customWidth="1"/>
    <col min="8" max="9" width="12" bestFit="1" customWidth="1"/>
    <col min="10" max="10" width="10" bestFit="1" customWidth="1"/>
    <col min="11" max="11" width="12" bestFit="1" customWidth="1"/>
    <col min="12" max="12" width="5" bestFit="1" customWidth="1"/>
    <col min="13" max="18" width="12" bestFit="1" customWidth="1"/>
    <col min="19" max="19" width="13.7109375" bestFit="1" customWidth="1"/>
    <col min="20" max="20" width="11.28515625" bestFit="1" customWidth="1"/>
  </cols>
  <sheetData>
    <row r="3" spans="1:4" x14ac:dyDescent="0.25">
      <c r="A3" s="2" t="s">
        <v>13</v>
      </c>
      <c r="B3" s="2" t="s">
        <v>10</v>
      </c>
    </row>
    <row r="4" spans="1:4" x14ac:dyDescent="0.25">
      <c r="A4" s="2" t="s">
        <v>8</v>
      </c>
      <c r="B4" t="s">
        <v>3</v>
      </c>
      <c r="C4" t="s">
        <v>4</v>
      </c>
      <c r="D4" t="s">
        <v>9</v>
      </c>
    </row>
    <row r="5" spans="1:4" x14ac:dyDescent="0.25">
      <c r="A5" s="3">
        <v>16</v>
      </c>
      <c r="B5" s="1">
        <v>145985.40145985401</v>
      </c>
      <c r="C5" s="1">
        <v>66533.599467731197</v>
      </c>
      <c r="D5" s="1">
        <v>212519.00092758521</v>
      </c>
    </row>
    <row r="6" spans="1:4" x14ac:dyDescent="0.25">
      <c r="A6" s="3">
        <v>32</v>
      </c>
      <c r="B6" s="1">
        <v>109289.61748633879</v>
      </c>
      <c r="C6" s="1">
        <v>57670.126874279122</v>
      </c>
      <c r="D6" s="1">
        <v>166959.74436061791</v>
      </c>
    </row>
    <row r="7" spans="1:4" x14ac:dyDescent="0.25">
      <c r="A7" s="3">
        <v>64</v>
      </c>
      <c r="B7" s="1">
        <v>71377.587437544615</v>
      </c>
      <c r="C7" s="1">
        <v>39984.006397441022</v>
      </c>
      <c r="D7" s="1">
        <v>111361.59383498563</v>
      </c>
    </row>
    <row r="8" spans="1:4" x14ac:dyDescent="0.25">
      <c r="A8" s="3">
        <v>128</v>
      </c>
      <c r="B8" s="1">
        <v>37078.23507601038</v>
      </c>
      <c r="C8" s="1">
        <v>25706.940874035987</v>
      </c>
      <c r="D8" s="1">
        <v>62785.175950046367</v>
      </c>
    </row>
    <row r="9" spans="1:4" x14ac:dyDescent="0.25">
      <c r="A9" s="3">
        <v>256</v>
      </c>
      <c r="B9" s="1">
        <v>18975.332068311196</v>
      </c>
      <c r="C9" s="1">
        <v>15477.480266212659</v>
      </c>
      <c r="D9" s="1">
        <v>34452.812334523856</v>
      </c>
    </row>
    <row r="10" spans="1:4" x14ac:dyDescent="0.25">
      <c r="A10" s="3">
        <v>512</v>
      </c>
      <c r="B10" s="1">
        <v>6293.2662051604775</v>
      </c>
      <c r="C10" s="1">
        <v>8365.4007026936597</v>
      </c>
      <c r="D10" s="1">
        <v>14658.666907854138</v>
      </c>
    </row>
    <row r="11" spans="1:4" x14ac:dyDescent="0.25">
      <c r="A11" s="3">
        <v>1024</v>
      </c>
      <c r="B11" s="1">
        <v>3200</v>
      </c>
      <c r="C11" s="1">
        <v>4368.3382841167222</v>
      </c>
      <c r="D11" s="1">
        <v>7568.3382841167222</v>
      </c>
    </row>
    <row r="12" spans="1:4" x14ac:dyDescent="0.25">
      <c r="A12" s="3">
        <v>2048</v>
      </c>
      <c r="B12" s="1">
        <v>1727.8916266371773</v>
      </c>
      <c r="C12" s="1">
        <v>2336.8307900824898</v>
      </c>
      <c r="D12" s="1">
        <v>4064.7224167196673</v>
      </c>
    </row>
    <row r="13" spans="1:4" x14ac:dyDescent="0.25">
      <c r="A13" s="3" t="s">
        <v>9</v>
      </c>
      <c r="B13" s="1">
        <v>393927.3313598567</v>
      </c>
      <c r="C13" s="1">
        <v>220442.72365659289</v>
      </c>
      <c r="D13" s="1">
        <v>614370.05501644954</v>
      </c>
    </row>
    <row r="33" spans="1:4" x14ac:dyDescent="0.25">
      <c r="A33" s="2" t="s">
        <v>14</v>
      </c>
      <c r="B33" s="2" t="s">
        <v>10</v>
      </c>
    </row>
    <row r="34" spans="1:4" x14ac:dyDescent="0.25">
      <c r="A34" s="2" t="s">
        <v>8</v>
      </c>
      <c r="B34" t="s">
        <v>3</v>
      </c>
      <c r="C34" t="s">
        <v>4</v>
      </c>
      <c r="D34" t="s">
        <v>9</v>
      </c>
    </row>
    <row r="35" spans="1:4" x14ac:dyDescent="0.25">
      <c r="A35" s="3">
        <v>16</v>
      </c>
      <c r="B35" s="1">
        <v>2.2275604470802919</v>
      </c>
      <c r="C35" s="1">
        <v>1.0152221598469726</v>
      </c>
      <c r="D35" s="1">
        <v>3.2427826069272645</v>
      </c>
    </row>
    <row r="36" spans="1:4" x14ac:dyDescent="0.25">
      <c r="A36" s="3">
        <v>32</v>
      </c>
      <c r="B36" s="1">
        <v>3.33525443989071</v>
      </c>
      <c r="C36" s="1">
        <v>1.7599526023644751</v>
      </c>
      <c r="D36" s="1">
        <v>5.0952070422551854</v>
      </c>
    </row>
    <row r="37" spans="1:4" x14ac:dyDescent="0.25">
      <c r="A37" s="3">
        <v>64</v>
      </c>
      <c r="B37" s="1">
        <v>4.3565422019985727</v>
      </c>
      <c r="C37" s="1">
        <v>2.4404300779688124</v>
      </c>
      <c r="D37" s="1">
        <v>6.7969722799673846</v>
      </c>
    </row>
    <row r="38" spans="1:4" x14ac:dyDescent="0.25">
      <c r="A38" s="3">
        <v>128</v>
      </c>
      <c r="B38" s="1">
        <v>4.5261517426770483</v>
      </c>
      <c r="C38" s="1">
        <v>3.138054305912596</v>
      </c>
      <c r="D38" s="1">
        <v>7.6642060485896444</v>
      </c>
    </row>
    <row r="39" spans="1:4" x14ac:dyDescent="0.25">
      <c r="A39" s="3">
        <v>256</v>
      </c>
      <c r="B39" s="1">
        <v>4.6326494307400381</v>
      </c>
      <c r="C39" s="1">
        <v>3.7786817056183248</v>
      </c>
      <c r="D39" s="1">
        <v>8.4113311363583634</v>
      </c>
    </row>
    <row r="40" spans="1:4" x14ac:dyDescent="0.25">
      <c r="A40" s="3">
        <v>512</v>
      </c>
      <c r="B40" s="1">
        <v>3.0728838892385144</v>
      </c>
      <c r="C40" s="1">
        <v>4.0846683118621385</v>
      </c>
      <c r="D40" s="1">
        <v>7.1575522011006534</v>
      </c>
    </row>
    <row r="41" spans="1:4" x14ac:dyDescent="0.25">
      <c r="A41" s="3">
        <v>1024</v>
      </c>
      <c r="B41" s="1">
        <v>3.125</v>
      </c>
      <c r="C41" s="1">
        <v>4.2659553555827365</v>
      </c>
      <c r="D41" s="1">
        <v>7.3909553555827365</v>
      </c>
    </row>
    <row r="42" spans="1:4" x14ac:dyDescent="0.25">
      <c r="A42" s="3">
        <v>2048</v>
      </c>
      <c r="B42" s="1">
        <v>3.3747883332757369</v>
      </c>
      <c r="C42" s="1">
        <v>4.5641226368798629</v>
      </c>
      <c r="D42" s="1">
        <v>7.9389109701556002</v>
      </c>
    </row>
    <row r="43" spans="1:4" x14ac:dyDescent="0.25">
      <c r="A43" s="3" t="s">
        <v>9</v>
      </c>
      <c r="B43" s="1">
        <v>28.650830484900915</v>
      </c>
      <c r="C43" s="1">
        <v>25.047087156035918</v>
      </c>
      <c r="D43" s="1">
        <v>53.697917640936836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Thomas</dc:creator>
  <cp:lastModifiedBy>Ethan Thomas</cp:lastModifiedBy>
  <dcterms:created xsi:type="dcterms:W3CDTF">2025-11-16T18:32:48Z</dcterms:created>
  <dcterms:modified xsi:type="dcterms:W3CDTF">2025-11-16T18:56:21Z</dcterms:modified>
</cp:coreProperties>
</file>